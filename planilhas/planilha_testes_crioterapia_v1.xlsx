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Teste_Hidraulico" sheetId="3" state="visible" r:id="rId3"/>
    <sheet xmlns:r="http://schemas.openxmlformats.org/officeDocument/2006/relationships" name="Teste_Pneumatico" sheetId="4" state="visible" r:id="rId4"/>
    <sheet xmlns:r="http://schemas.openxmlformats.org/officeDocument/2006/relationships" name="Teste_Temperatura" sheetId="5" state="visible" r:id="rId5"/>
    <sheet xmlns:r="http://schemas.openxmlformats.org/officeDocument/2006/relationships" name="Teste_Aplicadores" sheetId="6" state="visible" r:id="rId6"/>
    <sheet xmlns:r="http://schemas.openxmlformats.org/officeDocument/2006/relationships" name="Regist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7F6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164" fontId="2" fillId="3" borderId="1" pivotButton="0" quotePrefix="0" xfId="0"/>
    <xf numFmtId="164" fontId="1" fillId="5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0" borderId="0" pivotButton="0" quotePrefix="0" xfId="0"/>
    <xf numFmtId="164" fontId="3" fillId="4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Vazão média por aplicador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'Resumo'!$F$4:$F$7</f>
            </numRef>
          </cat>
          <val>
            <numRef>
              <f>'Resumo'!$G$4:$G$7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Aplicador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L/min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75" customWidth="1" min="2" max="2"/>
  </cols>
  <sheetData>
    <row r="1">
      <c r="A1" s="1" t="inlineStr">
        <is>
          <t>Planilha de testes</t>
        </is>
      </c>
      <c r="B1" s="1" t="inlineStr">
        <is>
          <t>Engenharia reversa / protótipo V1</t>
        </is>
      </c>
    </row>
    <row r="3">
      <c r="A3" s="2" t="inlineStr">
        <is>
          <t>Objetivo</t>
        </is>
      </c>
      <c r="B3" s="3" t="inlineStr">
        <is>
          <t>Registrar testes de vazão, temperatura, pressão e tempos de ciclo.</t>
        </is>
      </c>
    </row>
    <row r="4">
      <c r="A4" s="2" t="inlineStr">
        <is>
          <t>Como usar</t>
        </is>
      </c>
      <c r="B4" s="3" t="inlineStr">
        <is>
          <t>Preencha as células vazias; os cálculos aparecem automaticamente.</t>
        </is>
      </c>
    </row>
    <row r="5">
      <c r="A5" s="2" t="inlineStr">
        <is>
          <t>Ordem sugerida</t>
        </is>
      </c>
      <c r="B5" s="3" t="inlineStr">
        <is>
          <t>Hidráulico → Temperatura → Pneumático → Aplicadores → Registro</t>
        </is>
      </c>
    </row>
    <row r="6">
      <c r="A6" s="2" t="inlineStr">
        <is>
          <t>Unidades</t>
        </is>
      </c>
      <c r="B6" s="3" t="inlineStr">
        <is>
          <t>L, s, min, mmHg, °C</t>
        </is>
      </c>
    </row>
    <row r="7">
      <c r="A7" s="2" t="inlineStr">
        <is>
          <t>Segurança</t>
        </is>
      </c>
      <c r="B7" s="3" t="inlineStr">
        <is>
          <t>Testar primeiro em bancada, não no corpo.</t>
        </is>
      </c>
    </row>
    <row r="8">
      <c r="A8" s="2" t="inlineStr">
        <is>
          <t>GitHub</t>
        </is>
      </c>
      <c r="B8" s="3" t="inlineStr">
        <is>
          <t>Salvar em /docs/planilhas/ ou /tests/planilhas/.</t>
        </is>
      </c>
    </row>
    <row r="10">
      <c r="A10" s="4" t="inlineStr">
        <is>
          <t>Campos sugeridos</t>
        </is>
      </c>
      <c r="B10" s="4" t="inlineStr">
        <is>
          <t>Sistema: Referência/Protótipo
Configuração: unidade/mangueira/aplicador
Aplicador: joelho/quadril/ombro/outro
Repetições: mínimo 3 por condição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8" customWidth="1" min="4" max="4"/>
    <col width="14" customWidth="1" min="6" max="6"/>
    <col width="14" customWidth="1" min="7" max="7"/>
    <col width="16" customWidth="1" min="8" max="8"/>
    <col width="12" customWidth="1" min="9" max="9"/>
  </cols>
  <sheetData>
    <row r="1">
      <c r="A1" s="1" t="inlineStr">
        <is>
          <t>Resumo automático dos testes</t>
        </is>
      </c>
      <c r="B1" s="1" t="n"/>
      <c r="C1" s="1" t="n"/>
      <c r="D1" s="1" t="n"/>
    </row>
    <row r="3">
      <c r="A3" s="5" t="inlineStr">
        <is>
          <t>Métrica</t>
        </is>
      </c>
      <c r="B3" s="5" t="inlineStr">
        <is>
          <t>Valor</t>
        </is>
      </c>
      <c r="C3" s="5" t="inlineStr">
        <is>
          <t>Unidade</t>
        </is>
      </c>
      <c r="D3" s="5" t="inlineStr">
        <is>
          <t>Origem</t>
        </is>
      </c>
      <c r="F3" s="5" t="inlineStr">
        <is>
          <t>Aplicador</t>
        </is>
      </c>
      <c r="G3" s="5" t="inlineStr">
        <is>
          <t>Vazão média</t>
        </is>
      </c>
      <c r="H3" s="5" t="inlineStr">
        <is>
          <t>Tempo médio inflar</t>
        </is>
      </c>
      <c r="I3" s="5" t="inlineStr">
        <is>
          <t>ΔT médio</t>
        </is>
      </c>
    </row>
    <row r="4">
      <c r="A4" s="6" t="inlineStr">
        <is>
          <t>Vazão média - saída livre</t>
        </is>
      </c>
      <c r="B4" s="6">
        <f>IFERROR(AVERAGEIF(Teste_Hidraulico!$G$5:$G$14,"&gt;0"),"")</f>
        <v/>
      </c>
      <c r="C4" s="6" t="inlineStr">
        <is>
          <t>L/min</t>
        </is>
      </c>
      <c r="D4" s="6" t="inlineStr">
        <is>
          <t>Teste_Hidraulico</t>
        </is>
      </c>
      <c r="F4" s="6" t="inlineStr">
        <is>
          <t>Joelho</t>
        </is>
      </c>
      <c r="G4" s="6">
        <f>IFERROR(AVERAGEIFS(Teste_Aplicadores!$F$4:$F$40,Teste_Aplicadores!$C$4:$C$40,"Joelho"),"")</f>
        <v/>
      </c>
      <c r="H4" s="6">
        <f>IFERROR(AVERAGEIFS(Teste_Aplicadores!$G$4:$G$40,Teste_Aplicadores!$C$4:$C$40,"Joelho"),"")</f>
        <v/>
      </c>
      <c r="I4" s="6">
        <f>IFERROR(AVERAGEIFS(Teste_Aplicadores!$H$4:$H$40,Teste_Aplicadores!$C$4:$C$40,"Joelho"),"")</f>
        <v/>
      </c>
    </row>
    <row r="5">
      <c r="A5" s="6" t="inlineStr">
        <is>
          <t>Vazão média - com mangueira</t>
        </is>
      </c>
      <c r="B5" s="6">
        <f>IFERROR(AVERAGEIF(Teste_Hidraulico!$G$19:$G$28,"&gt;0"),"")</f>
        <v/>
      </c>
      <c r="C5" s="6" t="inlineStr">
        <is>
          <t>L/min</t>
        </is>
      </c>
      <c r="D5" s="6" t="inlineStr">
        <is>
          <t>Teste_Hidraulico</t>
        </is>
      </c>
      <c r="F5" s="6" t="inlineStr">
        <is>
          <t>Quadril</t>
        </is>
      </c>
      <c r="G5" s="6">
        <f>IFERROR(AVERAGEIFS(Teste_Aplicadores!$F$4:$F$40,Teste_Aplicadores!$C$4:$C$40,"Quadril"),"")</f>
        <v/>
      </c>
      <c r="H5" s="6">
        <f>IFERROR(AVERAGEIFS(Teste_Aplicadores!$G$4:$G$40,Teste_Aplicadores!$C$4:$C$40,"Quadril"),"")</f>
        <v/>
      </c>
      <c r="I5" s="6">
        <f>IFERROR(AVERAGEIFS(Teste_Aplicadores!$H$4:$H$40,Teste_Aplicadores!$C$4:$C$40,"Quadril"),"")</f>
        <v/>
      </c>
    </row>
    <row r="6">
      <c r="A6" s="6" t="inlineStr">
        <is>
          <t>Vazão média - com aplicador</t>
        </is>
      </c>
      <c r="B6" s="6">
        <f>IFERROR(AVERAGEIF(Teste_Hidraulico!$G$33:$G$42,"&gt;0"),"")</f>
        <v/>
      </c>
      <c r="C6" s="6" t="inlineStr">
        <is>
          <t>L/min</t>
        </is>
      </c>
      <c r="D6" s="6" t="inlineStr">
        <is>
          <t>Teste_Hidraulico</t>
        </is>
      </c>
      <c r="F6" s="6" t="inlineStr">
        <is>
          <t>Ombro</t>
        </is>
      </c>
      <c r="G6" s="6">
        <f>IFERROR(AVERAGEIFS(Teste_Aplicadores!$F$4:$F$40,Teste_Aplicadores!$C$4:$C$40,"Ombro"),"")</f>
        <v/>
      </c>
      <c r="H6" s="6">
        <f>IFERROR(AVERAGEIFS(Teste_Aplicadores!$G$4:$G$40,Teste_Aplicadores!$C$4:$C$40,"Ombro"),"")</f>
        <v/>
      </c>
      <c r="I6" s="6">
        <f>IFERROR(AVERAGEIFS(Teste_Aplicadores!$H$4:$H$40,Teste_Aplicadores!$C$4:$C$40,"Ombro"),"")</f>
        <v/>
      </c>
    </row>
    <row r="7">
      <c r="A7" s="6" t="inlineStr">
        <is>
          <t>ΔT médio (ida-retorno)</t>
        </is>
      </c>
      <c r="B7" s="6">
        <f>IFERROR(AVERAGEIF(Teste_Temperatura!$F$4:$F$20,"&gt;0"),"")</f>
        <v/>
      </c>
      <c r="C7" s="6" t="inlineStr">
        <is>
          <t>°C</t>
        </is>
      </c>
      <c r="D7" s="6" t="inlineStr">
        <is>
          <t>Teste_Temperatura</t>
        </is>
      </c>
      <c r="F7" s="6" t="inlineStr">
        <is>
          <t>Outro</t>
        </is>
      </c>
      <c r="G7" s="6">
        <f>IFERROR(AVERAGEIFS(Teste_Aplicadores!$F$4:$F$40,Teste_Aplicadores!$C$4:$C$40,"Outro"),"")</f>
        <v/>
      </c>
      <c r="H7" s="6">
        <f>IFERROR(AVERAGEIFS(Teste_Aplicadores!$G$4:$G$40,Teste_Aplicadores!$C$4:$C$40,"Outro"),"")</f>
        <v/>
      </c>
      <c r="I7" s="6">
        <f>IFERROR(AVERAGEIFS(Teste_Aplicadores!$H$4:$H$40,Teste_Aplicadores!$C$4:$C$40,"Outro"),"")</f>
        <v/>
      </c>
    </row>
    <row r="8">
      <c r="A8" s="6" t="inlineStr">
        <is>
          <t>Tempo médio inflar</t>
        </is>
      </c>
      <c r="B8" s="6">
        <f>IFERROR(AVERAGEIF(Teste_Pneumatico!$D$4:$D$20,"&gt;0"),"")</f>
        <v/>
      </c>
      <c r="C8" s="6" t="inlineStr">
        <is>
          <t>s</t>
        </is>
      </c>
      <c r="D8" s="6" t="inlineStr">
        <is>
          <t>Teste_Pneumatico</t>
        </is>
      </c>
    </row>
    <row r="9">
      <c r="A9" s="6" t="inlineStr">
        <is>
          <t>Tempo médio desinflar</t>
        </is>
      </c>
      <c r="B9" s="6">
        <f>IFERROR(AVERAGEIF(Teste_Pneumatico!$E$4:$E$20,"&gt;0"),"")</f>
        <v/>
      </c>
      <c r="C9" s="6" t="inlineStr">
        <is>
          <t>s</t>
        </is>
      </c>
      <c r="D9" s="6" t="inlineStr">
        <is>
          <t>Teste_Pneumatico</t>
        </is>
      </c>
    </row>
    <row r="10">
      <c r="A10" s="6" t="inlineStr">
        <is>
          <t>Pressão média atingida</t>
        </is>
      </c>
      <c r="B10" s="6">
        <f>IFERROR(AVERAGEIF(Teste_Pneumatico!$F$4:$F$20,"&gt;0"),"")</f>
        <v/>
      </c>
      <c r="C10" s="6" t="inlineStr">
        <is>
          <t>mmHg</t>
        </is>
      </c>
      <c r="D10" s="6" t="inlineStr">
        <is>
          <t>Teste_Pneumatico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6" customWidth="1" min="5" max="5"/>
    <col width="16" customWidth="1" min="6" max="6"/>
    <col width="14" customWidth="1" min="7" max="7"/>
    <col width="24" customWidth="1" min="8" max="8"/>
    <col width="12" customWidth="1" min="9" max="9"/>
  </cols>
  <sheetData>
    <row r="1">
      <c r="A1" s="1" t="inlineStr">
        <is>
          <t>Teste hidráulico – cálculo automático de vazão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>
      <c r="A3" s="5" t="inlineStr">
        <is>
          <t>Data</t>
        </is>
      </c>
      <c r="B3" s="5" t="inlineStr">
        <is>
          <t>Sistema</t>
        </is>
      </c>
      <c r="C3" s="5" t="inlineStr">
        <is>
          <t>Configuração</t>
        </is>
      </c>
      <c r="D3" s="5" t="inlineStr">
        <is>
          <t>Aplicador</t>
        </is>
      </c>
      <c r="E3" s="5" t="inlineStr">
        <is>
          <t>Volume coletado (L)</t>
        </is>
      </c>
      <c r="F3" s="5" t="inlineStr">
        <is>
          <t>Tempo coleta (s)</t>
        </is>
      </c>
      <c r="G3" s="5" t="inlineStr">
        <is>
          <t>Vazão (L/min)</t>
        </is>
      </c>
      <c r="H3" s="5" t="inlineStr">
        <is>
          <t>Observação</t>
        </is>
      </c>
      <c r="I3" s="5" t="inlineStr">
        <is>
          <t>Status</t>
        </is>
      </c>
    </row>
    <row r="4">
      <c r="A4" s="7" t="inlineStr">
        <is>
          <t>1. Saída livre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8" t="inlineStr">
        <is>
          <t>Data</t>
        </is>
      </c>
      <c r="B5" s="5" t="inlineStr">
        <is>
          <t>Sistema</t>
        </is>
      </c>
      <c r="C5" s="5" t="inlineStr">
        <is>
          <t>Configuração</t>
        </is>
      </c>
      <c r="D5" s="5" t="inlineStr">
        <is>
          <t>Aplicador</t>
        </is>
      </c>
      <c r="E5" s="5" t="inlineStr">
        <is>
          <t>Volume coletado (L)</t>
        </is>
      </c>
      <c r="F5" s="5" t="inlineStr">
        <is>
          <t>Tempo coleta (s)</t>
        </is>
      </c>
      <c r="G5" s="5" t="inlineStr">
        <is>
          <t>Vazão (L/min)</t>
        </is>
      </c>
      <c r="H5" s="5" t="inlineStr">
        <is>
          <t>Observação</t>
        </is>
      </c>
      <c r="I5" s="5" t="inlineStr">
        <is>
          <t>Status</t>
        </is>
      </c>
    </row>
    <row r="6">
      <c r="A6" s="9" t="n"/>
      <c r="B6" s="6" t="n"/>
      <c r="C6" s="6" t="n"/>
      <c r="D6" s="6" t="n"/>
      <c r="E6" s="6" t="n"/>
      <c r="F6" s="6" t="n"/>
      <c r="G6" s="6">
        <f>IF(OR(E6="",F6=""),"",E6/F6*60)</f>
        <v/>
      </c>
      <c r="H6" s="6" t="n"/>
      <c r="I6" s="6">
        <f>IF(G6="","",IF(G6&gt;0,"OK","Verificar"))</f>
        <v/>
      </c>
    </row>
    <row r="7">
      <c r="A7" s="9" t="n"/>
      <c r="B7" s="6" t="n"/>
      <c r="C7" s="6" t="n"/>
      <c r="D7" s="6" t="n"/>
      <c r="E7" s="6" t="n"/>
      <c r="F7" s="6" t="n"/>
      <c r="G7" s="6">
        <f>IF(OR(E7="",F7=""),"",E7/F7*60)</f>
        <v/>
      </c>
      <c r="H7" s="6" t="n"/>
      <c r="I7" s="6">
        <f>IF(G7="","",IF(G7&gt;0,"OK","Verificar"))</f>
        <v/>
      </c>
    </row>
    <row r="8">
      <c r="A8" s="9" t="n"/>
      <c r="B8" s="6" t="n"/>
      <c r="C8" s="6" t="n"/>
      <c r="D8" s="6" t="n"/>
      <c r="E8" s="6" t="n"/>
      <c r="F8" s="6" t="n"/>
      <c r="G8" s="6">
        <f>IF(OR(E8="",F8=""),"",E8/F8*60)</f>
        <v/>
      </c>
      <c r="H8" s="6" t="n"/>
      <c r="I8" s="6">
        <f>IF(G8="","",IF(G8&gt;0,"OK","Verificar"))</f>
        <v/>
      </c>
    </row>
    <row r="9">
      <c r="A9" s="9" t="n"/>
      <c r="B9" s="6" t="n"/>
      <c r="C9" s="6" t="n"/>
      <c r="D9" s="6" t="n"/>
      <c r="E9" s="6" t="n"/>
      <c r="F9" s="6" t="n"/>
      <c r="G9" s="6">
        <f>IF(OR(E9="",F9=""),"",E9/F9*60)</f>
        <v/>
      </c>
      <c r="H9" s="6" t="n"/>
      <c r="I9" s="6">
        <f>IF(G9="","",IF(G9&gt;0,"OK","Verificar"))</f>
        <v/>
      </c>
    </row>
    <row r="10">
      <c r="A10" s="9" t="n"/>
      <c r="B10" s="6" t="n"/>
      <c r="C10" s="6" t="n"/>
      <c r="D10" s="6" t="n"/>
      <c r="E10" s="6" t="n"/>
      <c r="F10" s="6" t="n"/>
      <c r="G10" s="6">
        <f>IF(OR(E10="",F10=""),"",E10/F10*60)</f>
        <v/>
      </c>
      <c r="H10" s="6" t="n"/>
      <c r="I10" s="6">
        <f>IF(G10="","",IF(G10&gt;0,"OK","Verificar"))</f>
        <v/>
      </c>
    </row>
    <row r="11">
      <c r="A11" s="9" t="n"/>
      <c r="B11" s="6" t="n"/>
      <c r="C11" s="6" t="n"/>
      <c r="D11" s="6" t="n"/>
      <c r="E11" s="6" t="n"/>
      <c r="F11" s="6" t="n"/>
      <c r="G11" s="6">
        <f>IF(OR(E11="",F11=""),"",E11/F11*60)</f>
        <v/>
      </c>
      <c r="H11" s="6" t="n"/>
      <c r="I11" s="6">
        <f>IF(G11="","",IF(G11&gt;0,"OK","Verificar"))</f>
        <v/>
      </c>
    </row>
    <row r="12">
      <c r="A12" s="9" t="n"/>
      <c r="B12" s="6" t="n"/>
      <c r="C12" s="6" t="n"/>
      <c r="D12" s="6" t="n"/>
      <c r="E12" s="6" t="n"/>
      <c r="F12" s="6" t="n"/>
      <c r="G12" s="6">
        <f>IF(OR(E12="",F12=""),"",E12/F12*60)</f>
        <v/>
      </c>
      <c r="H12" s="6" t="n"/>
      <c r="I12" s="6">
        <f>IF(G12="","",IF(G12&gt;0,"OK","Verificar"))</f>
        <v/>
      </c>
    </row>
    <row r="13">
      <c r="A13" s="9" t="n"/>
      <c r="B13" s="6" t="n"/>
      <c r="C13" s="6" t="n"/>
      <c r="D13" s="6" t="n"/>
      <c r="E13" s="6" t="n"/>
      <c r="F13" s="6" t="n"/>
      <c r="G13" s="6">
        <f>IF(OR(E13="",F13=""),"",E13/F13*60)</f>
        <v/>
      </c>
      <c r="H13" s="6" t="n"/>
      <c r="I13" s="6">
        <f>IF(G13="","",IF(G13&gt;0,"OK","Verificar"))</f>
        <v/>
      </c>
    </row>
    <row r="14">
      <c r="A14" s="9" t="n"/>
      <c r="B14" s="6" t="n"/>
      <c r="C14" s="6" t="n"/>
      <c r="D14" s="6" t="n"/>
      <c r="E14" s="6" t="n"/>
      <c r="F14" s="6" t="n"/>
      <c r="G14" s="6">
        <f>IF(OR(E14="",F14=""),"",E14/F14*60)</f>
        <v/>
      </c>
      <c r="H14" s="6" t="n"/>
      <c r="I14" s="6">
        <f>IF(G14="","",IF(G14&gt;0,"OK","Verificar"))</f>
        <v/>
      </c>
    </row>
    <row r="15">
      <c r="A15" s="9" t="n"/>
      <c r="B15" s="6" t="n"/>
      <c r="C15" s="6" t="n"/>
      <c r="D15" s="6" t="n"/>
      <c r="E15" s="6" t="n"/>
      <c r="F15" s="6" t="n"/>
      <c r="G15" s="6">
        <f>IF(OR(E15="",F15=""),"",E15/F15*60)</f>
        <v/>
      </c>
      <c r="H15" s="6" t="n"/>
      <c r="I15" s="6">
        <f>IF(G15="","",IF(G15&gt;0,"OK","Verificar"))</f>
        <v/>
      </c>
    </row>
    <row r="16">
      <c r="A16" s="10" t="n"/>
    </row>
    <row r="17">
      <c r="A17" s="10" t="n"/>
    </row>
    <row r="18">
      <c r="A18" s="7" t="inlineStr">
        <is>
          <t>2. Com mangueira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8" t="inlineStr">
        <is>
          <t>Data</t>
        </is>
      </c>
      <c r="B19" s="5" t="inlineStr">
        <is>
          <t>Sistema</t>
        </is>
      </c>
      <c r="C19" s="5" t="inlineStr">
        <is>
          <t>Configuração</t>
        </is>
      </c>
      <c r="D19" s="5" t="inlineStr">
        <is>
          <t>Aplicador</t>
        </is>
      </c>
      <c r="E19" s="5" t="inlineStr">
        <is>
          <t>Volume coletado (L)</t>
        </is>
      </c>
      <c r="F19" s="5" t="inlineStr">
        <is>
          <t>Tempo coleta (s)</t>
        </is>
      </c>
      <c r="G19" s="5" t="inlineStr">
        <is>
          <t>Vazão (L/min)</t>
        </is>
      </c>
      <c r="H19" s="5" t="inlineStr">
        <is>
          <t>Observação</t>
        </is>
      </c>
      <c r="I19" s="5" t="inlineStr">
        <is>
          <t>Status</t>
        </is>
      </c>
    </row>
    <row r="20">
      <c r="A20" s="9" t="n"/>
      <c r="B20" s="6" t="n"/>
      <c r="C20" s="6" t="n"/>
      <c r="D20" s="6" t="n"/>
      <c r="E20" s="6" t="n"/>
      <c r="F20" s="6" t="n"/>
      <c r="G20" s="6">
        <f>IF(OR(E20="",F20=""),"",E20/F20*60)</f>
        <v/>
      </c>
      <c r="H20" s="6" t="n"/>
      <c r="I20" s="6">
        <f>IF(G20="","",IF(G20&gt;0,"OK","Verificar"))</f>
        <v/>
      </c>
    </row>
    <row r="21">
      <c r="A21" s="9" t="n"/>
      <c r="B21" s="6" t="n"/>
      <c r="C21" s="6" t="n"/>
      <c r="D21" s="6" t="n"/>
      <c r="E21" s="6" t="n"/>
      <c r="F21" s="6" t="n"/>
      <c r="G21" s="6">
        <f>IF(OR(E21="",F21=""),"",E21/F21*60)</f>
        <v/>
      </c>
      <c r="H21" s="6" t="n"/>
      <c r="I21" s="6">
        <f>IF(G21="","",IF(G21&gt;0,"OK","Verificar"))</f>
        <v/>
      </c>
    </row>
    <row r="22">
      <c r="A22" s="9" t="n"/>
      <c r="B22" s="6" t="n"/>
      <c r="C22" s="6" t="n"/>
      <c r="D22" s="6" t="n"/>
      <c r="E22" s="6" t="n"/>
      <c r="F22" s="6" t="n"/>
      <c r="G22" s="6">
        <f>IF(OR(E22="",F22=""),"",E22/F22*60)</f>
        <v/>
      </c>
      <c r="H22" s="6" t="n"/>
      <c r="I22" s="6">
        <f>IF(G22="","",IF(G22&gt;0,"OK","Verificar"))</f>
        <v/>
      </c>
    </row>
    <row r="23">
      <c r="A23" s="9" t="n"/>
      <c r="B23" s="6" t="n"/>
      <c r="C23" s="6" t="n"/>
      <c r="D23" s="6" t="n"/>
      <c r="E23" s="6" t="n"/>
      <c r="F23" s="6" t="n"/>
      <c r="G23" s="6">
        <f>IF(OR(E23="",F23=""),"",E23/F23*60)</f>
        <v/>
      </c>
      <c r="H23" s="6" t="n"/>
      <c r="I23" s="6">
        <f>IF(G23="","",IF(G23&gt;0,"OK","Verificar"))</f>
        <v/>
      </c>
    </row>
    <row r="24">
      <c r="A24" s="9" t="n"/>
      <c r="B24" s="6" t="n"/>
      <c r="C24" s="6" t="n"/>
      <c r="D24" s="6" t="n"/>
      <c r="E24" s="6" t="n"/>
      <c r="F24" s="6" t="n"/>
      <c r="G24" s="6">
        <f>IF(OR(E24="",F24=""),"",E24/F24*60)</f>
        <v/>
      </c>
      <c r="H24" s="6" t="n"/>
      <c r="I24" s="6">
        <f>IF(G24="","",IF(G24&gt;0,"OK","Verificar"))</f>
        <v/>
      </c>
    </row>
    <row r="25">
      <c r="A25" s="9" t="n"/>
      <c r="B25" s="6" t="n"/>
      <c r="C25" s="6" t="n"/>
      <c r="D25" s="6" t="n"/>
      <c r="E25" s="6" t="n"/>
      <c r="F25" s="6" t="n"/>
      <c r="G25" s="6">
        <f>IF(OR(E25="",F25=""),"",E25/F25*60)</f>
        <v/>
      </c>
      <c r="H25" s="6" t="n"/>
      <c r="I25" s="6">
        <f>IF(G25="","",IF(G25&gt;0,"OK","Verificar"))</f>
        <v/>
      </c>
    </row>
    <row r="26">
      <c r="A26" s="9" t="n"/>
      <c r="B26" s="6" t="n"/>
      <c r="C26" s="6" t="n"/>
      <c r="D26" s="6" t="n"/>
      <c r="E26" s="6" t="n"/>
      <c r="F26" s="6" t="n"/>
      <c r="G26" s="6">
        <f>IF(OR(E26="",F26=""),"",E26/F26*60)</f>
        <v/>
      </c>
      <c r="H26" s="6" t="n"/>
      <c r="I26" s="6">
        <f>IF(G26="","",IF(G26&gt;0,"OK","Verificar"))</f>
        <v/>
      </c>
    </row>
    <row r="27">
      <c r="A27" s="9" t="n"/>
      <c r="B27" s="6" t="n"/>
      <c r="C27" s="6" t="n"/>
      <c r="D27" s="6" t="n"/>
      <c r="E27" s="6" t="n"/>
      <c r="F27" s="6" t="n"/>
      <c r="G27" s="6">
        <f>IF(OR(E27="",F27=""),"",E27/F27*60)</f>
        <v/>
      </c>
      <c r="H27" s="6" t="n"/>
      <c r="I27" s="6">
        <f>IF(G27="","",IF(G27&gt;0,"OK","Verificar"))</f>
        <v/>
      </c>
    </row>
    <row r="28">
      <c r="A28" s="9" t="n"/>
      <c r="B28" s="6" t="n"/>
      <c r="C28" s="6" t="n"/>
      <c r="D28" s="6" t="n"/>
      <c r="E28" s="6" t="n"/>
      <c r="F28" s="6" t="n"/>
      <c r="G28" s="6">
        <f>IF(OR(E28="",F28=""),"",E28/F28*60)</f>
        <v/>
      </c>
      <c r="H28" s="6" t="n"/>
      <c r="I28" s="6">
        <f>IF(G28="","",IF(G28&gt;0,"OK","Verificar"))</f>
        <v/>
      </c>
    </row>
    <row r="29">
      <c r="A29" s="9" t="n"/>
      <c r="B29" s="6" t="n"/>
      <c r="C29" s="6" t="n"/>
      <c r="D29" s="6" t="n"/>
      <c r="E29" s="6" t="n"/>
      <c r="F29" s="6" t="n"/>
      <c r="G29" s="6">
        <f>IF(OR(E29="",F29=""),"",E29/F29*60)</f>
        <v/>
      </c>
      <c r="H29" s="6" t="n"/>
      <c r="I29" s="6">
        <f>IF(G29="","",IF(G29&gt;0,"OK","Verificar"))</f>
        <v/>
      </c>
    </row>
    <row r="30">
      <c r="A30" s="10" t="n"/>
    </row>
    <row r="31">
      <c r="A31" s="10" t="n"/>
    </row>
    <row r="32">
      <c r="A32" s="7" t="inlineStr">
        <is>
          <t>3. Com aplicador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8" t="inlineStr">
        <is>
          <t>Data</t>
        </is>
      </c>
      <c r="B33" s="5" t="inlineStr">
        <is>
          <t>Sistema</t>
        </is>
      </c>
      <c r="C33" s="5" t="inlineStr">
        <is>
          <t>Configuração</t>
        </is>
      </c>
      <c r="D33" s="5" t="inlineStr">
        <is>
          <t>Aplicador</t>
        </is>
      </c>
      <c r="E33" s="5" t="inlineStr">
        <is>
          <t>Volume coletado (L)</t>
        </is>
      </c>
      <c r="F33" s="5" t="inlineStr">
        <is>
          <t>Tempo coleta (s)</t>
        </is>
      </c>
      <c r="G33" s="5" t="inlineStr">
        <is>
          <t>Vazão (L/min)</t>
        </is>
      </c>
      <c r="H33" s="5" t="inlineStr">
        <is>
          <t>Observação</t>
        </is>
      </c>
      <c r="I33" s="5" t="inlineStr">
        <is>
          <t>Status</t>
        </is>
      </c>
    </row>
    <row r="34">
      <c r="A34" s="9" t="n"/>
      <c r="B34" s="6" t="n"/>
      <c r="C34" s="6" t="n"/>
      <c r="D34" s="6" t="n"/>
      <c r="E34" s="6" t="n"/>
      <c r="F34" s="6" t="n"/>
      <c r="G34" s="6">
        <f>IF(OR(E34="",F34=""),"",E34/F34*60)</f>
        <v/>
      </c>
      <c r="H34" s="6" t="n"/>
      <c r="I34" s="6">
        <f>IF(G34="","",IF(G34&gt;0,"OK","Verificar"))</f>
        <v/>
      </c>
    </row>
    <row r="35">
      <c r="A35" s="9" t="n"/>
      <c r="B35" s="6" t="n"/>
      <c r="C35" s="6" t="n"/>
      <c r="D35" s="6" t="n"/>
      <c r="E35" s="6" t="n"/>
      <c r="F35" s="6" t="n"/>
      <c r="G35" s="6">
        <f>IF(OR(E35="",F35=""),"",E35/F35*60)</f>
        <v/>
      </c>
      <c r="H35" s="6" t="n"/>
      <c r="I35" s="6">
        <f>IF(G35="","",IF(G35&gt;0,"OK","Verificar"))</f>
        <v/>
      </c>
    </row>
    <row r="36">
      <c r="A36" s="9" t="n"/>
      <c r="B36" s="6" t="n"/>
      <c r="C36" s="6" t="n"/>
      <c r="D36" s="6" t="n"/>
      <c r="E36" s="6" t="n"/>
      <c r="F36" s="6" t="n"/>
      <c r="G36" s="6">
        <f>IF(OR(E36="",F36=""),"",E36/F36*60)</f>
        <v/>
      </c>
      <c r="H36" s="6" t="n"/>
      <c r="I36" s="6">
        <f>IF(G36="","",IF(G36&gt;0,"OK","Verificar"))</f>
        <v/>
      </c>
    </row>
    <row r="37">
      <c r="A37" s="9" t="n"/>
      <c r="B37" s="6" t="n"/>
      <c r="C37" s="6" t="n"/>
      <c r="D37" s="6" t="n"/>
      <c r="E37" s="6" t="n"/>
      <c r="F37" s="6" t="n"/>
      <c r="G37" s="6">
        <f>IF(OR(E37="",F37=""),"",E37/F37*60)</f>
        <v/>
      </c>
      <c r="H37" s="6" t="n"/>
      <c r="I37" s="6">
        <f>IF(G37="","",IF(G37&gt;0,"OK","Verificar"))</f>
        <v/>
      </c>
    </row>
    <row r="38">
      <c r="A38" s="9" t="n"/>
      <c r="B38" s="6" t="n"/>
      <c r="C38" s="6" t="n"/>
      <c r="D38" s="6" t="n"/>
      <c r="E38" s="6" t="n"/>
      <c r="F38" s="6" t="n"/>
      <c r="G38" s="6">
        <f>IF(OR(E38="",F38=""),"",E38/F38*60)</f>
        <v/>
      </c>
      <c r="H38" s="6" t="n"/>
      <c r="I38" s="6">
        <f>IF(G38="","",IF(G38&gt;0,"OK","Verificar"))</f>
        <v/>
      </c>
    </row>
    <row r="39">
      <c r="A39" s="9" t="n"/>
      <c r="B39" s="6" t="n"/>
      <c r="C39" s="6" t="n"/>
      <c r="D39" s="6" t="n"/>
      <c r="E39" s="6" t="n"/>
      <c r="F39" s="6" t="n"/>
      <c r="G39" s="6">
        <f>IF(OR(E39="",F39=""),"",E39/F39*60)</f>
        <v/>
      </c>
      <c r="H39" s="6" t="n"/>
      <c r="I39" s="6">
        <f>IF(G39="","",IF(G39&gt;0,"OK","Verificar"))</f>
        <v/>
      </c>
    </row>
    <row r="40">
      <c r="A40" s="9" t="n"/>
      <c r="B40" s="6" t="n"/>
      <c r="C40" s="6" t="n"/>
      <c r="D40" s="6" t="n"/>
      <c r="E40" s="6" t="n"/>
      <c r="F40" s="6" t="n"/>
      <c r="G40" s="6">
        <f>IF(OR(E40="",F40=""),"",E40/F40*60)</f>
        <v/>
      </c>
      <c r="H40" s="6" t="n"/>
      <c r="I40" s="6">
        <f>IF(G40="","",IF(G40&gt;0,"OK","Verificar"))</f>
        <v/>
      </c>
    </row>
    <row r="41">
      <c r="A41" s="9" t="n"/>
      <c r="B41" s="6" t="n"/>
      <c r="C41" s="6" t="n"/>
      <c r="D41" s="6" t="n"/>
      <c r="E41" s="6" t="n"/>
      <c r="F41" s="6" t="n"/>
      <c r="G41" s="6">
        <f>IF(OR(E41="",F41=""),"",E41/F41*60)</f>
        <v/>
      </c>
      <c r="H41" s="6" t="n"/>
      <c r="I41" s="6">
        <f>IF(G41="","",IF(G41&gt;0,"OK","Verificar"))</f>
        <v/>
      </c>
    </row>
    <row r="42">
      <c r="A42" s="9" t="n"/>
      <c r="B42" s="6" t="n"/>
      <c r="C42" s="6" t="n"/>
      <c r="D42" s="6" t="n"/>
      <c r="E42" s="6" t="n"/>
      <c r="F42" s="6" t="n"/>
      <c r="G42" s="6">
        <f>IF(OR(E42="",F42=""),"",E42/F42*60)</f>
        <v/>
      </c>
      <c r="H42" s="6" t="n"/>
      <c r="I42" s="6">
        <f>IF(G42="","",IF(G42&gt;0,"OK","Verificar"))</f>
        <v/>
      </c>
    </row>
    <row r="43">
      <c r="A43" s="9" t="n"/>
      <c r="B43" s="6" t="n"/>
      <c r="C43" s="6" t="n"/>
      <c r="D43" s="6" t="n"/>
      <c r="E43" s="6" t="n"/>
      <c r="F43" s="6" t="n"/>
      <c r="G43" s="6">
        <f>IF(OR(E43="",F43=""),"",E43/F43*60)</f>
        <v/>
      </c>
      <c r="H43" s="6" t="n"/>
      <c r="I43" s="6">
        <f>IF(G43="","",IF(G43&gt;0,"OK","Verificar"))</f>
        <v/>
      </c>
    </row>
    <row r="44">
      <c r="A44" s="10" t="n"/>
    </row>
    <row r="45">
      <c r="A45" s="10" t="n"/>
    </row>
    <row r="46">
      <c r="A46" s="11" t="inlineStr">
        <is>
          <t>Nota</t>
        </is>
      </c>
      <c r="B46" s="4" t="inlineStr">
        <is>
          <t>Vazão (L/min) = Volume coletado (L) / Tempo (s) × 60</t>
        </is>
      </c>
    </row>
    <row r="47">
      <c r="A47" s="10" t="n"/>
    </row>
    <row r="48">
      <c r="A48" s="10" t="n"/>
    </row>
    <row r="49">
      <c r="A49" s="10" t="n"/>
    </row>
  </sheetData>
  <conditionalFormatting sqref="I6:I43">
    <cfRule type="expression" priority="1" dxfId="0">
      <formula>I6="Verificar"</formula>
    </cfRule>
  </conditionalFormatting>
  <dataValidations count="3">
    <dataValidation sqref="B4:B20 B4:B40 B6:B15 B20:B29 B34:B43" showDropDown="0" showInputMessage="0" showErrorMessage="0" allowBlank="1" type="list">
      <formula1>"Referência,Protótipo"</formula1>
    </dataValidation>
    <dataValidation sqref="C6:C15 C20:C29 C34:C43" showDropDown="0" showInputMessage="0" showErrorMessage="0" allowBlank="1" type="list">
      <formula1>"Saída livre,Com mangueira,Com aplicador"</formula1>
    </dataValidation>
    <dataValidation sqref="D6:D15 D20:D29 D34:D43" showDropDown="0" showInputMessage="0" showErrorMessage="0" allowBlank="1" type="list">
      <formula1>"Nenhum,Joelho,Quadril,Ombro,Outro"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7" customWidth="1" min="5" max="5"/>
    <col width="20" customWidth="1" min="6" max="6"/>
    <col width="14" customWidth="1" min="7" max="7"/>
    <col width="24" customWidth="1" min="8" max="8"/>
    <col width="12" customWidth="1" min="9" max="9"/>
  </cols>
  <sheetData>
    <row r="1">
      <c r="A1" s="1" t="inlineStr">
        <is>
          <t>Teste pneumático – tempo de inflar, desinflar e pressão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>
      <c r="A3" s="5" t="inlineStr">
        <is>
          <t>Data</t>
        </is>
      </c>
      <c r="B3" s="5" t="inlineStr">
        <is>
          <t>Sistema</t>
        </is>
      </c>
      <c r="C3" s="5" t="inlineStr">
        <is>
          <t>Aplicador</t>
        </is>
      </c>
      <c r="D3" s="5" t="inlineStr">
        <is>
          <t>Tempo inflar (s)</t>
        </is>
      </c>
      <c r="E3" s="5" t="inlineStr">
        <is>
          <t>Tempo desinflar (s)</t>
        </is>
      </c>
      <c r="F3" s="5" t="inlineStr">
        <is>
          <t>Pressão atingida (mmHg)</t>
        </is>
      </c>
      <c r="G3" s="5" t="inlineStr">
        <is>
          <t>Ciclo estável?</t>
        </is>
      </c>
      <c r="H3" s="5" t="inlineStr">
        <is>
          <t>Observação</t>
        </is>
      </c>
      <c r="I3" s="5" t="inlineStr">
        <is>
          <t>Status</t>
        </is>
      </c>
    </row>
    <row r="4">
      <c r="A4" s="9" t="n"/>
      <c r="B4" s="6" t="n"/>
      <c r="C4" s="6" t="n"/>
      <c r="D4" s="6" t="n"/>
      <c r="E4" s="6" t="n"/>
      <c r="F4" s="6" t="n"/>
      <c r="G4" s="6" t="n"/>
      <c r="H4" s="6" t="n"/>
      <c r="I4" s="6">
        <f>IF(OR(D4="",E4=""),"",IF(AND(D4&gt;0,E4&gt;0),"OK","Verificar"))</f>
        <v/>
      </c>
    </row>
    <row r="5">
      <c r="A5" s="9" t="n"/>
      <c r="B5" s="6" t="n"/>
      <c r="C5" s="6" t="n"/>
      <c r="D5" s="6" t="n"/>
      <c r="E5" s="6" t="n"/>
      <c r="F5" s="6" t="n"/>
      <c r="G5" s="6" t="n"/>
      <c r="H5" s="6" t="n"/>
      <c r="I5" s="6">
        <f>IF(OR(D5="",E5=""),"",IF(AND(D5&gt;0,E5&gt;0),"OK","Verificar"))</f>
        <v/>
      </c>
    </row>
    <row r="6">
      <c r="A6" s="9" t="n"/>
      <c r="B6" s="6" t="n"/>
      <c r="C6" s="6" t="n"/>
      <c r="D6" s="6" t="n"/>
      <c r="E6" s="6" t="n"/>
      <c r="F6" s="6" t="n"/>
      <c r="G6" s="6" t="n"/>
      <c r="H6" s="6" t="n"/>
      <c r="I6" s="6">
        <f>IF(OR(D6="",E6=""),"",IF(AND(D6&gt;0,E6&gt;0),"OK","Verificar"))</f>
        <v/>
      </c>
    </row>
    <row r="7">
      <c r="A7" s="9" t="n"/>
      <c r="B7" s="6" t="n"/>
      <c r="C7" s="6" t="n"/>
      <c r="D7" s="6" t="n"/>
      <c r="E7" s="6" t="n"/>
      <c r="F7" s="6" t="n"/>
      <c r="G7" s="6" t="n"/>
      <c r="H7" s="6" t="n"/>
      <c r="I7" s="6">
        <f>IF(OR(D7="",E7=""),"",IF(AND(D7&gt;0,E7&gt;0),"OK","Verificar"))</f>
        <v/>
      </c>
    </row>
    <row r="8">
      <c r="A8" s="9" t="n"/>
      <c r="B8" s="6" t="n"/>
      <c r="C8" s="6" t="n"/>
      <c r="D8" s="6" t="n"/>
      <c r="E8" s="6" t="n"/>
      <c r="F8" s="6" t="n"/>
      <c r="G8" s="6" t="n"/>
      <c r="H8" s="6" t="n"/>
      <c r="I8" s="6">
        <f>IF(OR(D8="",E8=""),"",IF(AND(D8&gt;0,E8&gt;0),"OK","Verificar"))</f>
        <v/>
      </c>
    </row>
    <row r="9">
      <c r="A9" s="9" t="n"/>
      <c r="B9" s="6" t="n"/>
      <c r="C9" s="6" t="n"/>
      <c r="D9" s="6" t="n"/>
      <c r="E9" s="6" t="n"/>
      <c r="F9" s="6" t="n"/>
      <c r="G9" s="6" t="n"/>
      <c r="H9" s="6" t="n"/>
      <c r="I9" s="6">
        <f>IF(OR(D9="",E9=""),"",IF(AND(D9&gt;0,E9&gt;0),"OK","Verificar"))</f>
        <v/>
      </c>
    </row>
    <row r="10">
      <c r="A10" s="9" t="n"/>
      <c r="B10" s="6" t="n"/>
      <c r="C10" s="6" t="n"/>
      <c r="D10" s="6" t="n"/>
      <c r="E10" s="6" t="n"/>
      <c r="F10" s="6" t="n"/>
      <c r="G10" s="6" t="n"/>
      <c r="H10" s="6" t="n"/>
      <c r="I10" s="6">
        <f>IF(OR(D10="",E10=""),"",IF(AND(D10&gt;0,E10&gt;0),"OK","Verificar"))</f>
        <v/>
      </c>
    </row>
    <row r="11">
      <c r="A11" s="9" t="n"/>
      <c r="B11" s="6" t="n"/>
      <c r="C11" s="6" t="n"/>
      <c r="D11" s="6" t="n"/>
      <c r="E11" s="6" t="n"/>
      <c r="F11" s="6" t="n"/>
      <c r="G11" s="6" t="n"/>
      <c r="H11" s="6" t="n"/>
      <c r="I11" s="6">
        <f>IF(OR(D11="",E11=""),"",IF(AND(D11&gt;0,E11&gt;0),"OK","Verificar"))</f>
        <v/>
      </c>
    </row>
    <row r="12">
      <c r="A12" s="9" t="n"/>
      <c r="B12" s="6" t="n"/>
      <c r="C12" s="6" t="n"/>
      <c r="D12" s="6" t="n"/>
      <c r="E12" s="6" t="n"/>
      <c r="F12" s="6" t="n"/>
      <c r="G12" s="6" t="n"/>
      <c r="H12" s="6" t="n"/>
      <c r="I12" s="6">
        <f>IF(OR(D12="",E12=""),"",IF(AND(D12&gt;0,E12&gt;0),"OK","Verificar"))</f>
        <v/>
      </c>
    </row>
    <row r="13">
      <c r="A13" s="9" t="n"/>
      <c r="B13" s="6" t="n"/>
      <c r="C13" s="6" t="n"/>
      <c r="D13" s="6" t="n"/>
      <c r="E13" s="6" t="n"/>
      <c r="F13" s="6" t="n"/>
      <c r="G13" s="6" t="n"/>
      <c r="H13" s="6" t="n"/>
      <c r="I13" s="6">
        <f>IF(OR(D13="",E13=""),"",IF(AND(D13&gt;0,E13&gt;0),"OK","Verificar"))</f>
        <v/>
      </c>
    </row>
    <row r="14">
      <c r="A14" s="9" t="n"/>
      <c r="B14" s="6" t="n"/>
      <c r="C14" s="6" t="n"/>
      <c r="D14" s="6" t="n"/>
      <c r="E14" s="6" t="n"/>
      <c r="F14" s="6" t="n"/>
      <c r="G14" s="6" t="n"/>
      <c r="H14" s="6" t="n"/>
      <c r="I14" s="6">
        <f>IF(OR(D14="",E14=""),"",IF(AND(D14&gt;0,E14&gt;0),"OK","Verificar"))</f>
        <v/>
      </c>
    </row>
    <row r="15">
      <c r="A15" s="9" t="n"/>
      <c r="B15" s="6" t="n"/>
      <c r="C15" s="6" t="n"/>
      <c r="D15" s="6" t="n"/>
      <c r="E15" s="6" t="n"/>
      <c r="F15" s="6" t="n"/>
      <c r="G15" s="6" t="n"/>
      <c r="H15" s="6" t="n"/>
      <c r="I15" s="6">
        <f>IF(OR(D15="",E15=""),"",IF(AND(D15&gt;0,E15&gt;0),"OK","Verificar"))</f>
        <v/>
      </c>
    </row>
    <row r="16">
      <c r="A16" s="9" t="n"/>
      <c r="B16" s="6" t="n"/>
      <c r="C16" s="6" t="n"/>
      <c r="D16" s="6" t="n"/>
      <c r="E16" s="6" t="n"/>
      <c r="F16" s="6" t="n"/>
      <c r="G16" s="6" t="n"/>
      <c r="H16" s="6" t="n"/>
      <c r="I16" s="6">
        <f>IF(OR(D16="",E16=""),"",IF(AND(D16&gt;0,E16&gt;0),"OK","Verificar"))</f>
        <v/>
      </c>
    </row>
    <row r="17">
      <c r="A17" s="9" t="n"/>
      <c r="B17" s="6" t="n"/>
      <c r="C17" s="6" t="n"/>
      <c r="D17" s="6" t="n"/>
      <c r="E17" s="6" t="n"/>
      <c r="F17" s="6" t="n"/>
      <c r="G17" s="6" t="n"/>
      <c r="H17" s="6" t="n"/>
      <c r="I17" s="6">
        <f>IF(OR(D17="",E17=""),"",IF(AND(D17&gt;0,E17&gt;0),"OK","Verificar"))</f>
        <v/>
      </c>
    </row>
    <row r="18">
      <c r="A18" s="9" t="n"/>
      <c r="B18" s="6" t="n"/>
      <c r="C18" s="6" t="n"/>
      <c r="D18" s="6" t="n"/>
      <c r="E18" s="6" t="n"/>
      <c r="F18" s="6" t="n"/>
      <c r="G18" s="6" t="n"/>
      <c r="H18" s="6" t="n"/>
      <c r="I18" s="6">
        <f>IF(OR(D18="",E18=""),"",IF(AND(D18&gt;0,E18&gt;0),"OK","Verificar"))</f>
        <v/>
      </c>
    </row>
    <row r="19">
      <c r="A19" s="9" t="n"/>
      <c r="B19" s="6" t="n"/>
      <c r="C19" s="6" t="n"/>
      <c r="D19" s="6" t="n"/>
      <c r="E19" s="6" t="n"/>
      <c r="F19" s="6" t="n"/>
      <c r="G19" s="6" t="n"/>
      <c r="H19" s="6" t="n"/>
      <c r="I19" s="6">
        <f>IF(OR(D19="",E19=""),"",IF(AND(D19&gt;0,E19&gt;0),"OK","Verificar"))</f>
        <v/>
      </c>
    </row>
    <row r="20">
      <c r="A20" s="9" t="n"/>
      <c r="B20" s="6" t="n"/>
      <c r="C20" s="6" t="n"/>
      <c r="D20" s="6" t="n"/>
      <c r="E20" s="6" t="n"/>
      <c r="F20" s="6" t="n"/>
      <c r="G20" s="6" t="n"/>
      <c r="H20" s="6" t="n"/>
      <c r="I20" s="6">
        <f>IF(OR(D20="",E20=""),"",IF(AND(D20&gt;0,E20&gt;0),"OK","Verificar"))</f>
        <v/>
      </c>
    </row>
    <row r="21">
      <c r="A21" s="10" t="n"/>
    </row>
    <row r="22">
      <c r="A22" s="11" t="inlineStr">
        <is>
          <t>Nota</t>
        </is>
      </c>
      <c r="B22" s="4" t="inlineStr">
        <is>
          <t>Se houver manômetro/sensor, preencha a pressão; se não houver, descreva a observação.</t>
        </is>
      </c>
    </row>
    <row r="23">
      <c r="A23" s="10" t="n"/>
    </row>
    <row r="24">
      <c r="A24" s="10" t="n"/>
    </row>
    <row r="25">
      <c r="A25" s="10" t="n"/>
    </row>
    <row r="26">
      <c r="A26" s="10" t="n"/>
    </row>
    <row r="27">
      <c r="A27" s="10" t="n"/>
    </row>
    <row r="28">
      <c r="A28" s="10" t="n"/>
    </row>
    <row r="29">
      <c r="A29" s="10" t="n"/>
    </row>
    <row r="30">
      <c r="A30" s="10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</sheetData>
  <conditionalFormatting sqref="I4:I20">
    <cfRule type="expression" priority="1" dxfId="0">
      <formula>I4="Verificar"</formula>
    </cfRule>
  </conditionalFormatting>
  <dataValidations count="3">
    <dataValidation sqref="B4:B20 B4:B40 B6:B15 B20:B29 B34:B43" showDropDown="0" showInputMessage="0" showErrorMessage="0" allowBlank="1" type="list">
      <formula1>"Referência,Protótipo"</formula1>
    </dataValidation>
    <dataValidation sqref="C4:C20 C4:C40" showDropDown="0" showInputMessage="0" showErrorMessage="0" allowBlank="1" type="list">
      <formula1>"Joelho,Quadril,Ombro,Outro"</formula1>
    </dataValidation>
    <dataValidation sqref="G4:G20" showDropDown="0" showInputMessage="0" showErrorMessage="0" allowBlank="1" type="list">
      <formula1>"Sim,Não,Parcial"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  <col width="10" customWidth="1" min="6" max="6"/>
    <col width="18" customWidth="1" min="7" max="7"/>
    <col width="24" customWidth="1" min="8" max="8"/>
  </cols>
  <sheetData>
    <row r="1">
      <c r="A1" s="1" t="inlineStr">
        <is>
          <t>Teste térmico – temperatura de ida, retorno e ΔT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5" t="inlineStr">
        <is>
          <t>Data</t>
        </is>
      </c>
      <c r="B3" s="5" t="inlineStr">
        <is>
          <t>Sistema</t>
        </is>
      </c>
      <c r="C3" s="5" t="inlineStr">
        <is>
          <t>Aplicador</t>
        </is>
      </c>
      <c r="D3" s="5" t="inlineStr">
        <is>
          <t>Temp. ida (°C)</t>
        </is>
      </c>
      <c r="E3" s="5" t="inlineStr">
        <is>
          <t>Temp. retorno (°C)</t>
        </is>
      </c>
      <c r="F3" s="5" t="inlineStr">
        <is>
          <t>ΔT (°C)</t>
        </is>
      </c>
      <c r="G3" s="5" t="inlineStr">
        <is>
          <t>Tempo operação (min)</t>
        </is>
      </c>
      <c r="H3" s="5" t="inlineStr">
        <is>
          <t>Observação</t>
        </is>
      </c>
    </row>
    <row r="4">
      <c r="A4" s="9" t="n"/>
      <c r="B4" s="6" t="n"/>
      <c r="C4" s="6" t="n"/>
      <c r="D4" s="6" t="n"/>
      <c r="E4" s="6" t="n"/>
      <c r="F4" s="6">
        <f>IF(OR(D4="",E4=""),"",D4-E4)</f>
        <v/>
      </c>
      <c r="G4" s="6" t="n"/>
      <c r="H4" s="6" t="n"/>
    </row>
    <row r="5">
      <c r="A5" s="9" t="n"/>
      <c r="B5" s="6" t="n"/>
      <c r="C5" s="6" t="n"/>
      <c r="D5" s="6" t="n"/>
      <c r="E5" s="6" t="n"/>
      <c r="F5" s="6">
        <f>IF(OR(D5="",E5=""),"",D5-E5)</f>
        <v/>
      </c>
      <c r="G5" s="6" t="n"/>
      <c r="H5" s="6" t="n"/>
    </row>
    <row r="6">
      <c r="A6" s="9" t="n"/>
      <c r="B6" s="6" t="n"/>
      <c r="C6" s="6" t="n"/>
      <c r="D6" s="6" t="n"/>
      <c r="E6" s="6" t="n"/>
      <c r="F6" s="6">
        <f>IF(OR(D6="",E6=""),"",D6-E6)</f>
        <v/>
      </c>
      <c r="G6" s="6" t="n"/>
      <c r="H6" s="6" t="n"/>
    </row>
    <row r="7">
      <c r="A7" s="9" t="n"/>
      <c r="B7" s="6" t="n"/>
      <c r="C7" s="6" t="n"/>
      <c r="D7" s="6" t="n"/>
      <c r="E7" s="6" t="n"/>
      <c r="F7" s="6">
        <f>IF(OR(D7="",E7=""),"",D7-E7)</f>
        <v/>
      </c>
      <c r="G7" s="6" t="n"/>
      <c r="H7" s="6" t="n"/>
    </row>
    <row r="8">
      <c r="A8" s="9" t="n"/>
      <c r="B8" s="6" t="n"/>
      <c r="C8" s="6" t="n"/>
      <c r="D8" s="6" t="n"/>
      <c r="E8" s="6" t="n"/>
      <c r="F8" s="6">
        <f>IF(OR(D8="",E8=""),"",D8-E8)</f>
        <v/>
      </c>
      <c r="G8" s="6" t="n"/>
      <c r="H8" s="6" t="n"/>
    </row>
    <row r="9">
      <c r="A9" s="9" t="n"/>
      <c r="B9" s="6" t="n"/>
      <c r="C9" s="6" t="n"/>
      <c r="D9" s="6" t="n"/>
      <c r="E9" s="6" t="n"/>
      <c r="F9" s="6">
        <f>IF(OR(D9="",E9=""),"",D9-E9)</f>
        <v/>
      </c>
      <c r="G9" s="6" t="n"/>
      <c r="H9" s="6" t="n"/>
    </row>
    <row r="10">
      <c r="A10" s="9" t="n"/>
      <c r="B10" s="6" t="n"/>
      <c r="C10" s="6" t="n"/>
      <c r="D10" s="6" t="n"/>
      <c r="E10" s="6" t="n"/>
      <c r="F10" s="6">
        <f>IF(OR(D10="",E10=""),"",D10-E10)</f>
        <v/>
      </c>
      <c r="G10" s="6" t="n"/>
      <c r="H10" s="6" t="n"/>
    </row>
    <row r="11">
      <c r="A11" s="9" t="n"/>
      <c r="B11" s="6" t="n"/>
      <c r="C11" s="6" t="n"/>
      <c r="D11" s="6" t="n"/>
      <c r="E11" s="6" t="n"/>
      <c r="F11" s="6">
        <f>IF(OR(D11="",E11=""),"",D11-E11)</f>
        <v/>
      </c>
      <c r="G11" s="6" t="n"/>
      <c r="H11" s="6" t="n"/>
    </row>
    <row r="12">
      <c r="A12" s="9" t="n"/>
      <c r="B12" s="6" t="n"/>
      <c r="C12" s="6" t="n"/>
      <c r="D12" s="6" t="n"/>
      <c r="E12" s="6" t="n"/>
      <c r="F12" s="6">
        <f>IF(OR(D12="",E12=""),"",D12-E12)</f>
        <v/>
      </c>
      <c r="G12" s="6" t="n"/>
      <c r="H12" s="6" t="n"/>
    </row>
    <row r="13">
      <c r="A13" s="9" t="n"/>
      <c r="B13" s="6" t="n"/>
      <c r="C13" s="6" t="n"/>
      <c r="D13" s="6" t="n"/>
      <c r="E13" s="6" t="n"/>
      <c r="F13" s="6">
        <f>IF(OR(D13="",E13=""),"",D13-E13)</f>
        <v/>
      </c>
      <c r="G13" s="6" t="n"/>
      <c r="H13" s="6" t="n"/>
    </row>
    <row r="14">
      <c r="A14" s="9" t="n"/>
      <c r="B14" s="6" t="n"/>
      <c r="C14" s="6" t="n"/>
      <c r="D14" s="6" t="n"/>
      <c r="E14" s="6" t="n"/>
      <c r="F14" s="6">
        <f>IF(OR(D14="",E14=""),"",D14-E14)</f>
        <v/>
      </c>
      <c r="G14" s="6" t="n"/>
      <c r="H14" s="6" t="n"/>
    </row>
    <row r="15">
      <c r="A15" s="9" t="n"/>
      <c r="B15" s="6" t="n"/>
      <c r="C15" s="6" t="n"/>
      <c r="D15" s="6" t="n"/>
      <c r="E15" s="6" t="n"/>
      <c r="F15" s="6">
        <f>IF(OR(D15="",E15=""),"",D15-E15)</f>
        <v/>
      </c>
      <c r="G15" s="6" t="n"/>
      <c r="H15" s="6" t="n"/>
    </row>
    <row r="16">
      <c r="A16" s="9" t="n"/>
      <c r="B16" s="6" t="n"/>
      <c r="C16" s="6" t="n"/>
      <c r="D16" s="6" t="n"/>
      <c r="E16" s="6" t="n"/>
      <c r="F16" s="6">
        <f>IF(OR(D16="",E16=""),"",D16-E16)</f>
        <v/>
      </c>
      <c r="G16" s="6" t="n"/>
      <c r="H16" s="6" t="n"/>
    </row>
    <row r="17">
      <c r="A17" s="9" t="n"/>
      <c r="B17" s="6" t="n"/>
      <c r="C17" s="6" t="n"/>
      <c r="D17" s="6" t="n"/>
      <c r="E17" s="6" t="n"/>
      <c r="F17" s="6">
        <f>IF(OR(D17="",E17=""),"",D17-E17)</f>
        <v/>
      </c>
      <c r="G17" s="6" t="n"/>
      <c r="H17" s="6" t="n"/>
    </row>
    <row r="18">
      <c r="A18" s="9" t="n"/>
      <c r="B18" s="6" t="n"/>
      <c r="C18" s="6" t="n"/>
      <c r="D18" s="6" t="n"/>
      <c r="E18" s="6" t="n"/>
      <c r="F18" s="6">
        <f>IF(OR(D18="",E18=""),"",D18-E18)</f>
        <v/>
      </c>
      <c r="G18" s="6" t="n"/>
      <c r="H18" s="6" t="n"/>
    </row>
    <row r="19">
      <c r="A19" s="9" t="n"/>
      <c r="B19" s="6" t="n"/>
      <c r="C19" s="6" t="n"/>
      <c r="D19" s="6" t="n"/>
      <c r="E19" s="6" t="n"/>
      <c r="F19" s="6">
        <f>IF(OR(D19="",E19=""),"",D19-E19)</f>
        <v/>
      </c>
      <c r="G19" s="6" t="n"/>
      <c r="H19" s="6" t="n"/>
    </row>
    <row r="20">
      <c r="A20" s="9" t="n"/>
      <c r="B20" s="6" t="n"/>
      <c r="C20" s="6" t="n"/>
      <c r="D20" s="6" t="n"/>
      <c r="E20" s="6" t="n"/>
      <c r="F20" s="6">
        <f>IF(OR(D20="",E20=""),"",D20-E20)</f>
        <v/>
      </c>
      <c r="G20" s="6" t="n"/>
      <c r="H20" s="6" t="n"/>
    </row>
    <row r="21">
      <c r="A21" s="10" t="n"/>
    </row>
    <row r="22">
      <c r="A22" s="11" t="inlineStr">
        <is>
          <t>Nota</t>
        </is>
      </c>
      <c r="B22" s="4" t="inlineStr">
        <is>
          <t>ΔT = temperatura de ida - temperatura de retorno.</t>
        </is>
      </c>
    </row>
    <row r="23">
      <c r="A23" s="10" t="n"/>
    </row>
    <row r="24">
      <c r="A24" s="10" t="n"/>
    </row>
    <row r="25">
      <c r="A25" s="10" t="n"/>
    </row>
    <row r="26">
      <c r="A26" s="10" t="n"/>
    </row>
    <row r="27">
      <c r="A27" s="10" t="n"/>
    </row>
    <row r="28">
      <c r="A28" s="10" t="n"/>
    </row>
    <row r="29">
      <c r="A29" s="10" t="n"/>
    </row>
    <row r="30">
      <c r="A30" s="10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</sheetData>
  <dataValidations count="2">
    <dataValidation sqref="B4:B20 B4:B40 B6:B15 B20:B29 B34:B43" showDropDown="0" showInputMessage="0" showErrorMessage="0" allowBlank="1" type="list">
      <formula1>"Referência,Protótipo"</formula1>
    </dataValidation>
    <dataValidation sqref="C4:C20 C4:C40" showDropDown="0" showInputMessage="0" showErrorMessage="0" allowBlank="1" type="list">
      <formula1>"Joelho,Quadril,Ombro,Outro"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0" customWidth="1" min="5" max="5"/>
    <col width="14" customWidth="1" min="6" max="6"/>
    <col width="16" customWidth="1" min="7" max="7"/>
    <col width="10" customWidth="1" min="8" max="8"/>
    <col width="16" customWidth="1" min="9" max="9"/>
    <col width="22" customWidth="1" min="10" max="10"/>
  </cols>
  <sheetData>
    <row r="1">
      <c r="A1" s="1" t="inlineStr">
        <is>
          <t>Teste comparativo por aplicador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A3" s="5" t="inlineStr">
        <is>
          <t>Data</t>
        </is>
      </c>
      <c r="B3" s="5" t="inlineStr">
        <is>
          <t>Sistema</t>
        </is>
      </c>
      <c r="C3" s="5" t="inlineStr">
        <is>
          <t>Aplicador</t>
        </is>
      </c>
      <c r="D3" s="5" t="inlineStr">
        <is>
          <t>Configuração</t>
        </is>
      </c>
      <c r="E3" s="5" t="inlineStr">
        <is>
          <t>Volume (L)</t>
        </is>
      </c>
      <c r="F3" s="5" t="inlineStr">
        <is>
          <t>Vazão (L/min)</t>
        </is>
      </c>
      <c r="G3" s="5" t="inlineStr">
        <is>
          <t>Tempo inflar (s)</t>
        </is>
      </c>
      <c r="H3" s="5" t="inlineStr">
        <is>
          <t>ΔT (°C)</t>
        </is>
      </c>
      <c r="I3" s="5" t="inlineStr">
        <is>
          <t>Conforto/ajuste</t>
        </is>
      </c>
      <c r="J3" s="5" t="inlineStr">
        <is>
          <t>Observação</t>
        </is>
      </c>
    </row>
    <row r="4">
      <c r="A4" s="9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9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9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9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9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9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9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9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9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9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9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9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9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9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9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9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9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9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11" t="inlineStr">
        <is>
          <t>Nota</t>
        </is>
      </c>
      <c r="B22" s="4" t="inlineStr">
        <is>
          <t>Use esta aba para consolidar os melhores resultados por aplicador.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9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9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9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9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9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9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9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9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9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9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9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9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9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9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9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9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9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9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</sheetData>
  <dataValidations count="3">
    <dataValidation sqref="B4:B20 B4:B40 B6:B15 B20:B29 B34:B43" showDropDown="0" showInputMessage="0" showErrorMessage="0" allowBlank="1" type="list">
      <formula1>"Referência,Protótipo"</formula1>
    </dataValidation>
    <dataValidation sqref="C4:C20 C4:C40" showDropDown="0" showInputMessage="0" showErrorMessage="0" allowBlank="1" type="list">
      <formula1>"Joelho,Quadril,Ombro,Outro"</formula1>
    </dataValidation>
    <dataValidation sqref="I4:I40" showDropDown="0" showInputMessage="0" showErrorMessage="0" allowBlank="1" type="list">
      <formula1>"Bom,Médio,Ruim"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24" customWidth="1" min="6" max="6"/>
    <col width="22" customWidth="1" min="7" max="7"/>
  </cols>
  <sheetData>
    <row r="1">
      <c r="A1" s="1" t="inlineStr">
        <is>
          <t>Registro geral / diário de bancada</t>
        </is>
      </c>
      <c r="B1" s="1" t="n"/>
      <c r="C1" s="1" t="n"/>
      <c r="D1" s="1" t="n"/>
      <c r="E1" s="1" t="n"/>
      <c r="F1" s="1" t="n"/>
      <c r="G1" s="1" t="n"/>
    </row>
    <row r="3">
      <c r="A3" s="5" t="inlineStr">
        <is>
          <t>Data</t>
        </is>
      </c>
      <c r="B3" s="5" t="inlineStr">
        <is>
          <t>Sistema</t>
        </is>
      </c>
      <c r="C3" s="5" t="inlineStr">
        <is>
          <t>Etapa</t>
        </is>
      </c>
      <c r="D3" s="5" t="inlineStr">
        <is>
          <t>Configuração</t>
        </is>
      </c>
      <c r="E3" s="5" t="inlineStr">
        <is>
          <t>Resultado principal</t>
        </is>
      </c>
      <c r="F3" s="5" t="inlineStr">
        <is>
          <t>Problema encontrado</t>
        </is>
      </c>
      <c r="G3" s="5" t="inlineStr">
        <is>
          <t>Ação próxima</t>
        </is>
      </c>
    </row>
    <row r="4">
      <c r="A4" s="9" t="n"/>
      <c r="B4" s="6" t="n"/>
      <c r="C4" s="6" t="n"/>
      <c r="D4" s="6" t="n"/>
      <c r="E4" s="6" t="n"/>
      <c r="F4" s="6" t="n"/>
      <c r="G4" s="6" t="n"/>
    </row>
    <row r="5">
      <c r="A5" s="9" t="n"/>
      <c r="B5" s="6" t="n"/>
      <c r="C5" s="6" t="n"/>
      <c r="D5" s="6" t="n"/>
      <c r="E5" s="6" t="n"/>
      <c r="F5" s="6" t="n"/>
      <c r="G5" s="6" t="n"/>
    </row>
    <row r="6">
      <c r="A6" s="9" t="n"/>
      <c r="B6" s="6" t="n"/>
      <c r="C6" s="6" t="n"/>
      <c r="D6" s="6" t="n"/>
      <c r="E6" s="6" t="n"/>
      <c r="F6" s="6" t="n"/>
      <c r="G6" s="6" t="n"/>
    </row>
    <row r="7">
      <c r="A7" s="9" t="n"/>
      <c r="B7" s="6" t="n"/>
      <c r="C7" s="6" t="n"/>
      <c r="D7" s="6" t="n"/>
      <c r="E7" s="6" t="n"/>
      <c r="F7" s="6" t="n"/>
      <c r="G7" s="6" t="n"/>
    </row>
    <row r="8">
      <c r="A8" s="9" t="n"/>
      <c r="B8" s="6" t="n"/>
      <c r="C8" s="6" t="n"/>
      <c r="D8" s="6" t="n"/>
      <c r="E8" s="6" t="n"/>
      <c r="F8" s="6" t="n"/>
      <c r="G8" s="6" t="n"/>
    </row>
    <row r="9">
      <c r="A9" s="9" t="n"/>
      <c r="B9" s="6" t="n"/>
      <c r="C9" s="6" t="n"/>
      <c r="D9" s="6" t="n"/>
      <c r="E9" s="6" t="n"/>
      <c r="F9" s="6" t="n"/>
      <c r="G9" s="6" t="n"/>
    </row>
    <row r="10">
      <c r="A10" s="9" t="n"/>
      <c r="B10" s="6" t="n"/>
      <c r="C10" s="6" t="n"/>
      <c r="D10" s="6" t="n"/>
      <c r="E10" s="6" t="n"/>
      <c r="F10" s="6" t="n"/>
      <c r="G10" s="6" t="n"/>
    </row>
    <row r="11">
      <c r="A11" s="9" t="n"/>
      <c r="B11" s="6" t="n"/>
      <c r="C11" s="6" t="n"/>
      <c r="D11" s="6" t="n"/>
      <c r="E11" s="6" t="n"/>
      <c r="F11" s="6" t="n"/>
      <c r="G11" s="6" t="n"/>
    </row>
    <row r="12">
      <c r="A12" s="9" t="n"/>
      <c r="B12" s="6" t="n"/>
      <c r="C12" s="6" t="n"/>
      <c r="D12" s="6" t="n"/>
      <c r="E12" s="6" t="n"/>
      <c r="F12" s="6" t="n"/>
      <c r="G12" s="6" t="n"/>
    </row>
    <row r="13">
      <c r="A13" s="9" t="n"/>
      <c r="B13" s="6" t="n"/>
      <c r="C13" s="6" t="n"/>
      <c r="D13" s="6" t="n"/>
      <c r="E13" s="6" t="n"/>
      <c r="F13" s="6" t="n"/>
      <c r="G13" s="6" t="n"/>
    </row>
    <row r="14">
      <c r="A14" s="9" t="n"/>
      <c r="B14" s="6" t="n"/>
      <c r="C14" s="6" t="n"/>
      <c r="D14" s="6" t="n"/>
      <c r="E14" s="6" t="n"/>
      <c r="F14" s="6" t="n"/>
      <c r="G14" s="6" t="n"/>
    </row>
    <row r="15">
      <c r="A15" s="9" t="n"/>
      <c r="B15" s="6" t="n"/>
      <c r="C15" s="6" t="n"/>
      <c r="D15" s="6" t="n"/>
      <c r="E15" s="6" t="n"/>
      <c r="F15" s="6" t="n"/>
      <c r="G15" s="6" t="n"/>
    </row>
    <row r="16">
      <c r="A16" s="9" t="n"/>
      <c r="B16" s="6" t="n"/>
      <c r="C16" s="6" t="n"/>
      <c r="D16" s="6" t="n"/>
      <c r="E16" s="6" t="n"/>
      <c r="F16" s="6" t="n"/>
      <c r="G16" s="6" t="n"/>
    </row>
    <row r="17">
      <c r="A17" s="9" t="n"/>
      <c r="B17" s="6" t="n"/>
      <c r="C17" s="6" t="n"/>
      <c r="D17" s="6" t="n"/>
      <c r="E17" s="6" t="n"/>
      <c r="F17" s="6" t="n"/>
      <c r="G17" s="6" t="n"/>
    </row>
    <row r="18">
      <c r="A18" s="9" t="n"/>
      <c r="B18" s="6" t="n"/>
      <c r="C18" s="6" t="n"/>
      <c r="D18" s="6" t="n"/>
      <c r="E18" s="6" t="n"/>
      <c r="F18" s="6" t="n"/>
      <c r="G18" s="6" t="n"/>
    </row>
    <row r="19">
      <c r="A19" s="9" t="n"/>
      <c r="B19" s="6" t="n"/>
      <c r="C19" s="6" t="n"/>
      <c r="D19" s="6" t="n"/>
      <c r="E19" s="6" t="n"/>
      <c r="F19" s="6" t="n"/>
      <c r="G19" s="6" t="n"/>
    </row>
    <row r="20">
      <c r="A20" s="9" t="n"/>
      <c r="B20" s="6" t="n"/>
      <c r="C20" s="6" t="n"/>
      <c r="D20" s="6" t="n"/>
      <c r="E20" s="6" t="n"/>
      <c r="F20" s="6" t="n"/>
      <c r="G20" s="6" t="n"/>
    </row>
    <row r="21">
      <c r="A21" s="9" t="n"/>
      <c r="B21" s="6" t="n"/>
      <c r="C21" s="6" t="n"/>
      <c r="D21" s="6" t="n"/>
      <c r="E21" s="6" t="n"/>
      <c r="F21" s="6" t="n"/>
      <c r="G21" s="6" t="n"/>
    </row>
    <row r="22">
      <c r="A22" s="9" t="n"/>
      <c r="B22" s="6" t="n"/>
      <c r="C22" s="6" t="n"/>
      <c r="D22" s="6" t="n"/>
      <c r="E22" s="6" t="n"/>
      <c r="F22" s="6" t="n"/>
      <c r="G22" s="6" t="n"/>
    </row>
    <row r="23">
      <c r="A23" s="9" t="n"/>
      <c r="B23" s="6" t="n"/>
      <c r="C23" s="6" t="n"/>
      <c r="D23" s="6" t="n"/>
      <c r="E23" s="6" t="n"/>
      <c r="F23" s="6" t="n"/>
      <c r="G23" s="6" t="n"/>
    </row>
    <row r="24">
      <c r="A24" s="9" t="n"/>
      <c r="B24" s="6" t="n"/>
      <c r="C24" s="6" t="n"/>
      <c r="D24" s="6" t="n"/>
      <c r="E24" s="6" t="n"/>
      <c r="F24" s="6" t="n"/>
      <c r="G24" s="6" t="n"/>
    </row>
    <row r="25">
      <c r="A25" s="9" t="n"/>
      <c r="B25" s="6" t="n"/>
      <c r="C25" s="6" t="n"/>
      <c r="D25" s="6" t="n"/>
      <c r="E25" s="6" t="n"/>
      <c r="F25" s="6" t="n"/>
      <c r="G25" s="6" t="n"/>
    </row>
    <row r="26">
      <c r="A26" s="9" t="n"/>
      <c r="B26" s="6" t="n"/>
      <c r="C26" s="6" t="n"/>
      <c r="D26" s="6" t="n"/>
      <c r="E26" s="6" t="n"/>
      <c r="F26" s="6" t="n"/>
      <c r="G26" s="6" t="n"/>
    </row>
    <row r="27">
      <c r="A27" s="9" t="n"/>
      <c r="B27" s="6" t="n"/>
      <c r="C27" s="6" t="n"/>
      <c r="D27" s="6" t="n"/>
      <c r="E27" s="6" t="n"/>
      <c r="F27" s="6" t="n"/>
      <c r="G27" s="6" t="n"/>
    </row>
    <row r="28">
      <c r="A28" s="9" t="n"/>
      <c r="B28" s="6" t="n"/>
      <c r="C28" s="6" t="n"/>
      <c r="D28" s="6" t="n"/>
      <c r="E28" s="6" t="n"/>
      <c r="F28" s="6" t="n"/>
      <c r="G28" s="6" t="n"/>
    </row>
    <row r="29">
      <c r="A29" s="9" t="n"/>
      <c r="B29" s="6" t="n"/>
      <c r="C29" s="6" t="n"/>
      <c r="D29" s="6" t="n"/>
      <c r="E29" s="6" t="n"/>
      <c r="F29" s="6" t="n"/>
      <c r="G29" s="6" t="n"/>
    </row>
    <row r="30">
      <c r="A30" s="9" t="n"/>
      <c r="B30" s="6" t="n"/>
      <c r="C30" s="6" t="n"/>
      <c r="D30" s="6" t="n"/>
      <c r="E30" s="6" t="n"/>
      <c r="F30" s="6" t="n"/>
      <c r="G30" s="6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</sheetData>
  <dataValidations count="2">
    <dataValidation sqref="B4:B20 B4:B40 B6:B15 B20:B29 B34:B43" showDropDown="0" showInputMessage="0" showErrorMessage="0" allowBlank="1" type="list">
      <formula1>"Referência,Protótipo"</formula1>
    </dataValidation>
    <dataValidation sqref="C4:C30" showDropDown="0" showInputMessage="0" showErrorMessage="0" allowBlank="1" type="list">
      <formula1>"Hidráulico,Temperatura,Pneumático,Aplicadores,Interface"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2026-03-31T00:59:51Z</dcterms:created>
  <dcterms:modified xmlns:dcterms="http://purl.org/dc/terms/" xmlns:xsi="http://www.w3.org/2001/XMLSchema-instance" xsi:type="dcterms:W3CDTF">2026-03-31T00:59:51Z</dcterms:modified>
</cp:coreProperties>
</file>